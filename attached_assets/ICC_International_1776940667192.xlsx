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https://iccinternational-my.sharepoint.com/personal/dvass_iccinternational_com/Documents/Desktop/"/>
    </mc:Choice>
  </mc:AlternateContent>
  <xr:revisionPtr revIDLastSave="0" documentId="8_{C573BD6F-2637-43CE-AE36-97B5D7F7627A}" xr6:coauthVersionLast="47" xr6:coauthVersionMax="47" xr10:uidLastSave="{00000000-0000-0000-0000-000000000000}"/>
  <bookViews>
    <workbookView xWindow="11424" yWindow="-4590" windowWidth="23232" windowHeight="13872" tabRatio="500" activeTab="3" xr2:uid="{00000000-000D-0000-FFFF-FFFF00000000}"/>
  </bookViews>
  <sheets>
    <sheet name="2021" sheetId="4" state="hidden" r:id="rId1"/>
    <sheet name="2025 Ex factory" sheetId="5" r:id="rId2"/>
    <sheet name="Until US Port " sheetId="6" r:id="rId3"/>
    <sheet name="Door to Door 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4" i="7" l="1"/>
  <c r="H24" i="7"/>
  <c r="G24" i="7"/>
  <c r="F24" i="7"/>
  <c r="L22" i="7"/>
  <c r="J22" i="7"/>
  <c r="L21" i="7"/>
  <c r="L24" i="7" s="1"/>
  <c r="J21" i="7"/>
  <c r="I17" i="7"/>
  <c r="H17" i="7"/>
  <c r="G17" i="7"/>
  <c r="F17" i="7"/>
  <c r="L15" i="7"/>
  <c r="J15" i="7"/>
  <c r="L14" i="7"/>
  <c r="J14" i="7"/>
  <c r="L13" i="7"/>
  <c r="J13" i="7"/>
  <c r="L12" i="7"/>
  <c r="J12" i="7"/>
  <c r="L11" i="7"/>
  <c r="J11" i="7"/>
  <c r="L10" i="7"/>
  <c r="J10" i="7"/>
  <c r="L9" i="7"/>
  <c r="J9" i="7"/>
  <c r="I24" i="6"/>
  <c r="H24" i="6"/>
  <c r="G24" i="6"/>
  <c r="F24" i="6"/>
  <c r="L22" i="6"/>
  <c r="J22" i="6"/>
  <c r="L21" i="6"/>
  <c r="L24" i="6" s="1"/>
  <c r="J21" i="6"/>
  <c r="I17" i="6"/>
  <c r="H17" i="6"/>
  <c r="G17" i="6"/>
  <c r="F17" i="6"/>
  <c r="L15" i="6"/>
  <c r="J15" i="6"/>
  <c r="L14" i="6"/>
  <c r="J14" i="6"/>
  <c r="L13" i="6"/>
  <c r="J13" i="6"/>
  <c r="L12" i="6"/>
  <c r="J12" i="6"/>
  <c r="L11" i="6"/>
  <c r="J11" i="6"/>
  <c r="L10" i="6"/>
  <c r="J10" i="6"/>
  <c r="L9" i="6"/>
  <c r="J9" i="6"/>
  <c r="G24" i="5"/>
  <c r="H24" i="5"/>
  <c r="F24" i="5"/>
  <c r="J13" i="5"/>
  <c r="F17" i="5"/>
  <c r="G17" i="5"/>
  <c r="H17" i="5"/>
  <c r="L17" i="6" l="1"/>
  <c r="L17" i="7"/>
  <c r="I24" i="5"/>
  <c r="L22" i="5"/>
  <c r="J22" i="5"/>
  <c r="L21" i="5"/>
  <c r="J21" i="5"/>
  <c r="I17" i="5"/>
  <c r="L15" i="5"/>
  <c r="J15" i="5"/>
  <c r="L14" i="5"/>
  <c r="J14" i="5"/>
  <c r="L13" i="5"/>
  <c r="L12" i="5"/>
  <c r="J12" i="5"/>
  <c r="L11" i="5"/>
  <c r="J11" i="5"/>
  <c r="L10" i="5"/>
  <c r="J10" i="5"/>
  <c r="L9" i="5"/>
  <c r="J9" i="5"/>
  <c r="F24" i="4"/>
  <c r="I22" i="4"/>
  <c r="I24" i="4" s="1"/>
  <c r="G22" i="4"/>
  <c r="G21" i="4"/>
  <c r="I21" i="4"/>
  <c r="L24" i="5" l="1"/>
  <c r="L17" i="5"/>
  <c r="F17" i="4"/>
  <c r="I10" i="4"/>
  <c r="I11" i="4"/>
  <c r="I12" i="4"/>
  <c r="I13" i="4"/>
  <c r="I14" i="4"/>
  <c r="I15" i="4"/>
  <c r="I9" i="4"/>
  <c r="G15" i="4"/>
  <c r="G10" i="4"/>
  <c r="G11" i="4"/>
  <c r="G12" i="4"/>
  <c r="G13" i="4"/>
  <c r="G14" i="4"/>
  <c r="G9" i="4"/>
  <c r="I17" i="4" l="1"/>
</calcChain>
</file>

<file path=xl/sharedStrings.xml><?xml version="1.0" encoding="utf-8"?>
<sst xmlns="http://schemas.openxmlformats.org/spreadsheetml/2006/main" count="234" uniqueCount="32">
  <si>
    <t xml:space="preserve">Sr. No. </t>
  </si>
  <si>
    <t>Total</t>
  </si>
  <si>
    <t>Chintamani Elmech Solutions Pvt.Ltd.</t>
  </si>
  <si>
    <t>Nasik, India</t>
  </si>
  <si>
    <t xml:space="preserve">ICC International </t>
  </si>
  <si>
    <t>37.5" x 37.5"</t>
  </si>
  <si>
    <t>Sheet Size</t>
  </si>
  <si>
    <t>Thickness</t>
  </si>
  <si>
    <t xml:space="preserve">Product </t>
  </si>
  <si>
    <t>0.025"</t>
  </si>
  <si>
    <t>0.030"</t>
  </si>
  <si>
    <t>0.035"</t>
  </si>
  <si>
    <t>0.040"</t>
  </si>
  <si>
    <t>0.045"</t>
  </si>
  <si>
    <t>0.050"</t>
  </si>
  <si>
    <t>0.060"</t>
  </si>
  <si>
    <t>AVSM</t>
  </si>
  <si>
    <t>ibs used 2020</t>
  </si>
  <si>
    <t xml:space="preserve">Equivalent: Shts </t>
  </si>
  <si>
    <t>Total cost</t>
  </si>
  <si>
    <t xml:space="preserve">Price/lbs </t>
  </si>
  <si>
    <t>Maryville, TN</t>
  </si>
  <si>
    <t>website : www.cesnasik.com</t>
  </si>
  <si>
    <t xml:space="preserve">Sheet WT: lbs </t>
  </si>
  <si>
    <t xml:space="preserve">AVSM : Muscovite mica splitting - Alkyd Vinyl bonded segment mica sheets </t>
  </si>
  <si>
    <t xml:space="preserve">AVMM : Muscovite mica splitting - Alkyd Vinyl bonded Moulding mica sheets </t>
  </si>
  <si>
    <t>AVMM</t>
  </si>
  <si>
    <t>38" x 38"</t>
  </si>
  <si>
    <t>0.015"</t>
  </si>
  <si>
    <t>ibs used 2023</t>
  </si>
  <si>
    <t>ibs used 2024</t>
  </si>
  <si>
    <t>ibs used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</si>
</sst>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$-409]#,##0.00"/>
  </numFmts>
  <fonts count="7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14" fontId="1" fillId="0" borderId="0" xfId="0" applyNumberFormat="1" applyFont="1"/>
    <xf numFmtId="0" fontId="4" fillId="0" borderId="0" xfId="0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1" fillId="0" borderId="5" xfId="0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4" fillId="0" borderId="6" xfId="0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6BE1-8E54-B549-9962-BC6EF081B756}">
  <dimension ref="A1:I24"/>
  <sheetViews>
    <sheetView topLeftCell="A3" workbookViewId="0">
      <selection activeCell="D19" sqref="D19"/>
    </sheetView>
  </sheetViews>
  <sheetFormatPr defaultColWidth="10.875" defaultRowHeight="18.75" x14ac:dyDescent="0.3"/>
  <cols>
    <col min="1" max="1" width="8.5" style="1" customWidth="1"/>
    <col min="2" max="2" width="12.5" style="1" customWidth="1"/>
    <col min="3" max="3" width="14" style="1" customWidth="1"/>
    <col min="4" max="4" width="16" style="1" customWidth="1"/>
    <col min="5" max="5" width="16.625" style="1" customWidth="1"/>
    <col min="6" max="6" width="16.5" style="1" customWidth="1"/>
    <col min="7" max="7" width="19.375" style="1" customWidth="1"/>
    <col min="8" max="8" width="11.875" style="1" bestFit="1" customWidth="1"/>
    <col min="9" max="9" width="13.375" style="1" customWidth="1"/>
    <col min="10" max="16384" width="10.875" style="1"/>
  </cols>
  <sheetData>
    <row r="1" spans="1:9" x14ac:dyDescent="0.3">
      <c r="A1" s="4" t="s">
        <v>2</v>
      </c>
    </row>
    <row r="2" spans="1:9" x14ac:dyDescent="0.3">
      <c r="A2" s="4" t="s">
        <v>3</v>
      </c>
      <c r="H2" s="3">
        <v>44545</v>
      </c>
    </row>
    <row r="3" spans="1:9" x14ac:dyDescent="0.3">
      <c r="A3" s="1" t="s">
        <v>22</v>
      </c>
    </row>
    <row r="5" spans="1:9" ht="23.25" x14ac:dyDescent="0.35">
      <c r="A5" s="2" t="s">
        <v>4</v>
      </c>
      <c r="H5" s="3"/>
    </row>
    <row r="6" spans="1:9" x14ac:dyDescent="0.3">
      <c r="A6" s="4" t="s">
        <v>21</v>
      </c>
    </row>
    <row r="7" spans="1:9" ht="19.5" thickBot="1" x14ac:dyDescent="0.35">
      <c r="A7" s="4" t="s">
        <v>24</v>
      </c>
    </row>
    <row r="8" spans="1:9" ht="27" customHeight="1" x14ac:dyDescent="0.35">
      <c r="A8" s="12" t="s">
        <v>0</v>
      </c>
      <c r="B8" s="13" t="s">
        <v>8</v>
      </c>
      <c r="C8" s="13" t="s">
        <v>7</v>
      </c>
      <c r="D8" s="13" t="s">
        <v>6</v>
      </c>
      <c r="E8" s="14" t="s">
        <v>23</v>
      </c>
      <c r="F8" s="14" t="s">
        <v>17</v>
      </c>
      <c r="G8" s="14" t="s">
        <v>18</v>
      </c>
      <c r="H8" s="14" t="s">
        <v>20</v>
      </c>
      <c r="I8" s="15" t="s">
        <v>19</v>
      </c>
    </row>
    <row r="9" spans="1:9" x14ac:dyDescent="0.3">
      <c r="A9" s="16">
        <v>1</v>
      </c>
      <c r="B9" s="5" t="s">
        <v>16</v>
      </c>
      <c r="C9" s="5" t="s">
        <v>9</v>
      </c>
      <c r="D9" s="5" t="s">
        <v>5</v>
      </c>
      <c r="E9" s="6">
        <v>3.28</v>
      </c>
      <c r="F9" s="5">
        <v>502</v>
      </c>
      <c r="G9" s="7">
        <f>F9/E9</f>
        <v>153.04878048780489</v>
      </c>
      <c r="H9" s="8">
        <v>6.2</v>
      </c>
      <c r="I9" s="17">
        <f>F9*H9</f>
        <v>3112.4</v>
      </c>
    </row>
    <row r="10" spans="1:9" x14ac:dyDescent="0.3">
      <c r="A10" s="16">
        <v>2</v>
      </c>
      <c r="B10" s="5" t="s">
        <v>16</v>
      </c>
      <c r="C10" s="5" t="s">
        <v>10</v>
      </c>
      <c r="D10" s="5" t="s">
        <v>5</v>
      </c>
      <c r="E10" s="6">
        <v>3.94</v>
      </c>
      <c r="F10" s="5">
        <v>1557</v>
      </c>
      <c r="G10" s="7">
        <f t="shared" ref="G10:G15" si="0">F10/E10</f>
        <v>395.17766497461929</v>
      </c>
      <c r="H10" s="8">
        <v>6.1</v>
      </c>
      <c r="I10" s="17">
        <f t="shared" ref="I10:I15" si="1">F10*H10</f>
        <v>9497.6999999999989</v>
      </c>
    </row>
    <row r="11" spans="1:9" x14ac:dyDescent="0.3">
      <c r="A11" s="16">
        <v>3</v>
      </c>
      <c r="B11" s="5" t="s">
        <v>16</v>
      </c>
      <c r="C11" s="5" t="s">
        <v>11</v>
      </c>
      <c r="D11" s="5" t="s">
        <v>5</v>
      </c>
      <c r="E11" s="6">
        <v>4.5999999999999996</v>
      </c>
      <c r="F11" s="5">
        <v>605</v>
      </c>
      <c r="G11" s="7">
        <f t="shared" si="0"/>
        <v>131.52173913043478</v>
      </c>
      <c r="H11" s="8">
        <v>5.9</v>
      </c>
      <c r="I11" s="17">
        <f t="shared" si="1"/>
        <v>3569.5</v>
      </c>
    </row>
    <row r="12" spans="1:9" x14ac:dyDescent="0.3">
      <c r="A12" s="16">
        <v>4</v>
      </c>
      <c r="B12" s="5" t="s">
        <v>16</v>
      </c>
      <c r="C12" s="5" t="s">
        <v>12</v>
      </c>
      <c r="D12" s="5" t="s">
        <v>5</v>
      </c>
      <c r="E12" s="6">
        <v>5.25</v>
      </c>
      <c r="F12" s="5">
        <v>5993</v>
      </c>
      <c r="G12" s="7">
        <f t="shared" si="0"/>
        <v>1141.5238095238096</v>
      </c>
      <c r="H12" s="8">
        <v>5.85</v>
      </c>
      <c r="I12" s="17">
        <f t="shared" si="1"/>
        <v>35059.049999999996</v>
      </c>
    </row>
    <row r="13" spans="1:9" x14ac:dyDescent="0.3">
      <c r="A13" s="16">
        <v>5</v>
      </c>
      <c r="B13" s="5" t="s">
        <v>16</v>
      </c>
      <c r="C13" s="5" t="s">
        <v>13</v>
      </c>
      <c r="D13" s="5" t="s">
        <v>5</v>
      </c>
      <c r="E13" s="6">
        <v>5.9</v>
      </c>
      <c r="F13" s="5">
        <v>1298</v>
      </c>
      <c r="G13" s="7">
        <f t="shared" si="0"/>
        <v>220</v>
      </c>
      <c r="H13" s="8">
        <v>5.75</v>
      </c>
      <c r="I13" s="17">
        <f t="shared" si="1"/>
        <v>7463.5</v>
      </c>
    </row>
    <row r="14" spans="1:9" x14ac:dyDescent="0.3">
      <c r="A14" s="16">
        <v>6</v>
      </c>
      <c r="B14" s="5" t="s">
        <v>16</v>
      </c>
      <c r="C14" s="5" t="s">
        <v>14</v>
      </c>
      <c r="D14" s="5" t="s">
        <v>5</v>
      </c>
      <c r="E14" s="6">
        <v>6.57</v>
      </c>
      <c r="F14" s="5">
        <v>6314</v>
      </c>
      <c r="G14" s="7">
        <f t="shared" si="0"/>
        <v>961.03500761035002</v>
      </c>
      <c r="H14" s="8">
        <v>5.7</v>
      </c>
      <c r="I14" s="17">
        <f t="shared" si="1"/>
        <v>35989.800000000003</v>
      </c>
    </row>
    <row r="15" spans="1:9" x14ac:dyDescent="0.3">
      <c r="A15" s="16">
        <v>7</v>
      </c>
      <c r="B15" s="5" t="s">
        <v>16</v>
      </c>
      <c r="C15" s="5" t="s">
        <v>15</v>
      </c>
      <c r="D15" s="5" t="s">
        <v>5</v>
      </c>
      <c r="E15" s="6">
        <v>7.88</v>
      </c>
      <c r="F15" s="5">
        <v>2405</v>
      </c>
      <c r="G15" s="7">
        <f t="shared" si="0"/>
        <v>305.20304568527916</v>
      </c>
      <c r="H15" s="8">
        <v>5.55</v>
      </c>
      <c r="I15" s="17">
        <f t="shared" si="1"/>
        <v>13347.75</v>
      </c>
    </row>
    <row r="16" spans="1:9" x14ac:dyDescent="0.3">
      <c r="A16" s="18"/>
      <c r="B16" s="9"/>
      <c r="C16" s="9"/>
      <c r="D16" s="9"/>
      <c r="E16" s="9"/>
      <c r="F16" s="9"/>
      <c r="G16" s="9"/>
      <c r="H16" s="9"/>
      <c r="I16" s="19"/>
    </row>
    <row r="17" spans="1:9" x14ac:dyDescent="0.3">
      <c r="A17" s="18"/>
      <c r="B17" s="9"/>
      <c r="C17" s="9"/>
      <c r="D17" s="9"/>
      <c r="E17" s="10" t="s">
        <v>1</v>
      </c>
      <c r="F17" s="11">
        <f>SUM(F9:F15)</f>
        <v>18674</v>
      </c>
      <c r="G17" s="10"/>
      <c r="H17" s="10"/>
      <c r="I17" s="20">
        <f>SUM(I9:I15)</f>
        <v>108039.7</v>
      </c>
    </row>
    <row r="19" spans="1:9" ht="19.5" thickBot="1" x14ac:dyDescent="0.35">
      <c r="A19" s="4" t="s">
        <v>25</v>
      </c>
    </row>
    <row r="20" spans="1:9" ht="21" x14ac:dyDescent="0.35">
      <c r="A20" s="12" t="s">
        <v>0</v>
      </c>
      <c r="B20" s="13" t="s">
        <v>8</v>
      </c>
      <c r="C20" s="13" t="s">
        <v>7</v>
      </c>
      <c r="D20" s="13" t="s">
        <v>6</v>
      </c>
      <c r="E20" s="14" t="s">
        <v>23</v>
      </c>
      <c r="F20" s="14" t="s">
        <v>17</v>
      </c>
      <c r="G20" s="14" t="s">
        <v>18</v>
      </c>
      <c r="H20" s="14" t="s">
        <v>20</v>
      </c>
      <c r="I20" s="15" t="s">
        <v>19</v>
      </c>
    </row>
    <row r="21" spans="1:9" x14ac:dyDescent="0.3">
      <c r="A21" s="16">
        <v>1</v>
      </c>
      <c r="B21" s="5" t="s">
        <v>26</v>
      </c>
      <c r="C21" s="5" t="s">
        <v>28</v>
      </c>
      <c r="D21" s="5" t="s">
        <v>27</v>
      </c>
      <c r="E21" s="6">
        <v>1.87</v>
      </c>
      <c r="F21" s="5">
        <v>68</v>
      </c>
      <c r="G21" s="7">
        <f>F21/E21</f>
        <v>36.36363636363636</v>
      </c>
      <c r="H21" s="8">
        <v>7.1</v>
      </c>
      <c r="I21" s="17">
        <f>F21*H21</f>
        <v>482.79999999999995</v>
      </c>
    </row>
    <row r="22" spans="1:9" x14ac:dyDescent="0.3">
      <c r="A22" s="16">
        <v>2</v>
      </c>
      <c r="B22" s="5" t="s">
        <v>26</v>
      </c>
      <c r="C22" s="5" t="s">
        <v>10</v>
      </c>
      <c r="D22" s="5" t="s">
        <v>27</v>
      </c>
      <c r="E22" s="6">
        <v>3.75</v>
      </c>
      <c r="F22" s="5">
        <v>4860</v>
      </c>
      <c r="G22" s="7">
        <f>F22/E22</f>
        <v>1296</v>
      </c>
      <c r="H22" s="8">
        <v>6.9</v>
      </c>
      <c r="I22" s="17">
        <f>F22*H22</f>
        <v>33534</v>
      </c>
    </row>
    <row r="23" spans="1:9" x14ac:dyDescent="0.3">
      <c r="A23" s="18"/>
      <c r="B23" s="9"/>
      <c r="C23" s="9"/>
      <c r="D23" s="9"/>
      <c r="E23" s="9"/>
      <c r="F23" s="9"/>
      <c r="G23" s="9"/>
      <c r="H23" s="9"/>
      <c r="I23" s="19"/>
    </row>
    <row r="24" spans="1:9" x14ac:dyDescent="0.3">
      <c r="A24" s="18"/>
      <c r="B24" s="9"/>
      <c r="C24" s="9"/>
      <c r="D24" s="9"/>
      <c r="E24" s="10" t="s">
        <v>1</v>
      </c>
      <c r="F24" s="11">
        <f>SUM(F21:F23)</f>
        <v>4928</v>
      </c>
      <c r="G24" s="10"/>
      <c r="H24" s="10"/>
      <c r="I24" s="21">
        <f>SUM(I21:I22)</f>
        <v>34016.800000000003</v>
      </c>
    </row>
  </sheetData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71E0-DBEC-3146-B1FE-180AA51DA2A2}">
  <dimension ref="A1:L24"/>
  <sheetViews>
    <sheetView topLeftCell="A2" workbookViewId="0">
      <selection activeCell="J18" sqref="J18"/>
    </sheetView>
  </sheetViews>
  <sheetFormatPr defaultColWidth="10.875" defaultRowHeight="18.75" x14ac:dyDescent="0.3"/>
  <cols>
    <col min="1" max="1" width="8.5" style="1" customWidth="1"/>
    <col min="2" max="2" width="12.5" style="1" customWidth="1"/>
    <col min="3" max="3" width="14" style="1" customWidth="1"/>
    <col min="4" max="4" width="16" style="1" customWidth="1"/>
    <col min="5" max="5" width="16.625" style="1" customWidth="1"/>
    <col min="6" max="6" width="16.625" style="1" hidden="1" customWidth="1"/>
    <col min="7" max="8" width="16.625" style="1" customWidth="1"/>
    <col min="9" max="9" width="16.5" style="1" customWidth="1"/>
    <col min="10" max="10" width="19.375" style="1" customWidth="1"/>
    <col min="11" max="11" width="11.875" style="1" bestFit="1" customWidth="1"/>
    <col min="12" max="12" width="13.375" style="1" customWidth="1"/>
    <col min="13" max="16384" width="10.875" style="1"/>
  </cols>
  <sheetData>
    <row r="1" spans="1:12" ht="23.25" x14ac:dyDescent="0.35">
      <c r="A1" s="2" t="s">
        <v>2</v>
      </c>
    </row>
    <row r="2" spans="1:12" x14ac:dyDescent="0.3">
      <c r="A2" s="4" t="s">
        <v>3</v>
      </c>
      <c r="K2" s="3">
        <v>45892</v>
      </c>
    </row>
    <row r="3" spans="1:12" x14ac:dyDescent="0.3">
      <c r="A3" s="4" t="s">
        <v>22</v>
      </c>
    </row>
    <row r="5" spans="1:12" ht="26.25" x14ac:dyDescent="0.4">
      <c r="A5" s="23" t="s">
        <v>4</v>
      </c>
      <c r="K5" s="3"/>
    </row>
    <row r="6" spans="1:12" x14ac:dyDescent="0.3">
      <c r="A6" s="4" t="s">
        <v>21</v>
      </c>
    </row>
    <row r="7" spans="1:12" ht="21.75" thickBot="1" x14ac:dyDescent="0.4">
      <c r="A7" s="24" t="s">
        <v>24</v>
      </c>
      <c r="J7" s="22">
        <v>2025</v>
      </c>
      <c r="K7" s="22">
        <v>2025</v>
      </c>
    </row>
    <row r="8" spans="1:12" ht="27" customHeight="1" x14ac:dyDescent="0.35">
      <c r="A8" s="12" t="s">
        <v>0</v>
      </c>
      <c r="B8" s="13" t="s">
        <v>8</v>
      </c>
      <c r="C8" s="13" t="s">
        <v>7</v>
      </c>
      <c r="D8" s="13" t="s">
        <v>6</v>
      </c>
      <c r="E8" s="14" t="s">
        <v>23</v>
      </c>
      <c r="F8" s="14" t="s">
        <v>17</v>
      </c>
      <c r="G8" s="14" t="s">
        <v>29</v>
      </c>
      <c r="H8" s="14" t="s">
        <v>30</v>
      </c>
      <c r="I8" s="14" t="s">
        <v>31</v>
      </c>
      <c r="J8" s="14" t="s">
        <v>18</v>
      </c>
      <c r="K8" s="14" t="s">
        <v>20</v>
      </c>
      <c r="L8" s="15" t="s">
        <v>19</v>
      </c>
    </row>
    <row r="9" spans="1:12" x14ac:dyDescent="0.3">
      <c r="A9" s="16">
        <v>1</v>
      </c>
      <c r="B9" s="5" t="s">
        <v>16</v>
      </c>
      <c r="C9" s="5" t="s">
        <v>9</v>
      </c>
      <c r="D9" s="5" t="s">
        <v>5</v>
      </c>
      <c r="E9" s="6">
        <v>3.28</v>
      </c>
      <c r="F9" s="5">
        <v>502</v>
      </c>
      <c r="G9" s="5">
        <v>261</v>
      </c>
      <c r="H9" s="5">
        <v>545</v>
      </c>
      <c r="I9" s="5">
        <v>206</v>
      </c>
      <c r="J9" s="7">
        <f>I9/E9</f>
        <v>62.804878048780495</v>
      </c>
      <c r="K9" s="8">
        <v>6.3</v>
      </c>
      <c r="L9" s="17">
        <f>I9*K9</f>
        <v>1297.8</v>
      </c>
    </row>
    <row r="10" spans="1:12" x14ac:dyDescent="0.3">
      <c r="A10" s="16">
        <v>2</v>
      </c>
      <c r="B10" s="5" t="s">
        <v>16</v>
      </c>
      <c r="C10" s="5" t="s">
        <v>10</v>
      </c>
      <c r="D10" s="5" t="s">
        <v>5</v>
      </c>
      <c r="E10" s="6">
        <v>3.94</v>
      </c>
      <c r="F10" s="5">
        <v>1557</v>
      </c>
      <c r="G10" s="5">
        <v>636</v>
      </c>
      <c r="H10" s="5">
        <v>532</v>
      </c>
      <c r="I10" s="5">
        <v>258</v>
      </c>
      <c r="J10" s="7">
        <f t="shared" ref="J10:J15" si="0">I10/E10</f>
        <v>65.482233502538065</v>
      </c>
      <c r="K10" s="8">
        <v>6.2</v>
      </c>
      <c r="L10" s="17">
        <f t="shared" ref="L10:L15" si="1">I10*K10</f>
        <v>1599.6000000000001</v>
      </c>
    </row>
    <row r="11" spans="1:12" x14ac:dyDescent="0.3">
      <c r="A11" s="16">
        <v>3</v>
      </c>
      <c r="B11" s="5" t="s">
        <v>16</v>
      </c>
      <c r="C11" s="5" t="s">
        <v>11</v>
      </c>
      <c r="D11" s="5" t="s">
        <v>5</v>
      </c>
      <c r="E11" s="6">
        <v>4.5999999999999996</v>
      </c>
      <c r="F11" s="5">
        <v>605</v>
      </c>
      <c r="G11" s="5">
        <v>638</v>
      </c>
      <c r="H11" s="5">
        <v>532</v>
      </c>
      <c r="I11" s="5">
        <v>254</v>
      </c>
      <c r="J11" s="7">
        <f t="shared" si="0"/>
        <v>55.217391304347828</v>
      </c>
      <c r="K11" s="8">
        <v>6.1</v>
      </c>
      <c r="L11" s="17">
        <f t="shared" si="1"/>
        <v>1549.3999999999999</v>
      </c>
    </row>
    <row r="12" spans="1:12" x14ac:dyDescent="0.3">
      <c r="A12" s="16">
        <v>4</v>
      </c>
      <c r="B12" s="5" t="s">
        <v>16</v>
      </c>
      <c r="C12" s="5" t="s">
        <v>12</v>
      </c>
      <c r="D12" s="5" t="s">
        <v>5</v>
      </c>
      <c r="E12" s="6">
        <v>5.25</v>
      </c>
      <c r="F12" s="5">
        <v>5993</v>
      </c>
      <c r="G12" s="5">
        <v>5670</v>
      </c>
      <c r="H12" s="5">
        <v>6094</v>
      </c>
      <c r="I12" s="5">
        <v>5407</v>
      </c>
      <c r="J12" s="7">
        <f t="shared" si="0"/>
        <v>1029.9047619047619</v>
      </c>
      <c r="K12" s="8">
        <v>6.1</v>
      </c>
      <c r="L12" s="17">
        <f t="shared" si="1"/>
        <v>32982.699999999997</v>
      </c>
    </row>
    <row r="13" spans="1:12" x14ac:dyDescent="0.3">
      <c r="A13" s="16">
        <v>5</v>
      </c>
      <c r="B13" s="5" t="s">
        <v>16</v>
      </c>
      <c r="C13" s="5" t="s">
        <v>13</v>
      </c>
      <c r="D13" s="5" t="s">
        <v>5</v>
      </c>
      <c r="E13" s="6">
        <v>5.9</v>
      </c>
      <c r="F13" s="5">
        <v>1298</v>
      </c>
      <c r="G13" s="5">
        <v>451</v>
      </c>
      <c r="H13" s="5">
        <v>1485</v>
      </c>
      <c r="I13" s="5">
        <v>156</v>
      </c>
      <c r="J13" s="7">
        <f t="shared" si="0"/>
        <v>26.440677966101692</v>
      </c>
      <c r="K13" s="8">
        <v>6</v>
      </c>
      <c r="L13" s="17">
        <f t="shared" si="1"/>
        <v>936</v>
      </c>
    </row>
    <row r="14" spans="1:12" x14ac:dyDescent="0.3">
      <c r="A14" s="16">
        <v>6</v>
      </c>
      <c r="B14" s="5" t="s">
        <v>16</v>
      </c>
      <c r="C14" s="5" t="s">
        <v>14</v>
      </c>
      <c r="D14" s="5" t="s">
        <v>5</v>
      </c>
      <c r="E14" s="6">
        <v>6.57</v>
      </c>
      <c r="F14" s="5">
        <v>6314</v>
      </c>
      <c r="G14" s="5">
        <v>10148</v>
      </c>
      <c r="H14" s="5">
        <v>4725</v>
      </c>
      <c r="I14" s="5">
        <v>4936</v>
      </c>
      <c r="J14" s="7">
        <f t="shared" si="0"/>
        <v>751.29375951293753</v>
      </c>
      <c r="K14" s="8">
        <v>5.9</v>
      </c>
      <c r="L14" s="17">
        <f t="shared" si="1"/>
        <v>29122.400000000001</v>
      </c>
    </row>
    <row r="15" spans="1:12" x14ac:dyDescent="0.3">
      <c r="A15" s="16">
        <v>7</v>
      </c>
      <c r="B15" s="5" t="s">
        <v>16</v>
      </c>
      <c r="C15" s="5" t="s">
        <v>15</v>
      </c>
      <c r="D15" s="5" t="s">
        <v>5</v>
      </c>
      <c r="E15" s="6">
        <v>7.88</v>
      </c>
      <c r="F15" s="5">
        <v>2405</v>
      </c>
      <c r="G15" s="5">
        <v>2240</v>
      </c>
      <c r="H15" s="5">
        <v>2473</v>
      </c>
      <c r="I15" s="5">
        <v>1374</v>
      </c>
      <c r="J15" s="7">
        <f t="shared" si="0"/>
        <v>174.36548223350255</v>
      </c>
      <c r="K15" s="8">
        <v>5.85</v>
      </c>
      <c r="L15" s="17">
        <f t="shared" si="1"/>
        <v>8037.9</v>
      </c>
    </row>
    <row r="16" spans="1:12" x14ac:dyDescent="0.3">
      <c r="A16" s="18"/>
      <c r="B16" s="9"/>
      <c r="C16" s="9"/>
      <c r="D16" s="9"/>
      <c r="E16" s="9"/>
      <c r="F16" s="9"/>
      <c r="G16" s="9"/>
      <c r="H16" s="9"/>
      <c r="I16" s="9"/>
      <c r="J16" s="9"/>
      <c r="K16" s="9"/>
      <c r="L16" s="19"/>
    </row>
    <row r="17" spans="1:12" x14ac:dyDescent="0.3">
      <c r="A17" s="18"/>
      <c r="B17" s="9"/>
      <c r="C17" s="9"/>
      <c r="D17" s="9"/>
      <c r="E17" s="10" t="s">
        <v>1</v>
      </c>
      <c r="F17" s="11">
        <f>SUM(F9:F15)</f>
        <v>18674</v>
      </c>
      <c r="G17" s="11">
        <f>SUM(G9:G15)</f>
        <v>20044</v>
      </c>
      <c r="H17" s="11">
        <f>SUM(H9:H15)</f>
        <v>16386</v>
      </c>
      <c r="I17" s="11">
        <f>SUM(I9:I15)</f>
        <v>12591</v>
      </c>
      <c r="J17" s="10"/>
      <c r="K17" s="10"/>
      <c r="L17" s="20">
        <f>SUM(L9:L15)</f>
        <v>75525.799999999988</v>
      </c>
    </row>
    <row r="19" spans="1:12" s="25" customFormat="1" ht="21.75" thickBot="1" x14ac:dyDescent="0.4">
      <c r="A19" s="24" t="s">
        <v>25</v>
      </c>
    </row>
    <row r="20" spans="1:12" ht="21" x14ac:dyDescent="0.35">
      <c r="A20" s="12" t="s">
        <v>0</v>
      </c>
      <c r="B20" s="13" t="s">
        <v>8</v>
      </c>
      <c r="C20" s="13" t="s">
        <v>7</v>
      </c>
      <c r="D20" s="13" t="s">
        <v>6</v>
      </c>
      <c r="E20" s="14" t="s">
        <v>23</v>
      </c>
      <c r="F20" s="14" t="s">
        <v>17</v>
      </c>
      <c r="G20" s="14" t="s">
        <v>29</v>
      </c>
      <c r="H20" s="14" t="s">
        <v>30</v>
      </c>
      <c r="I20" s="14" t="s">
        <v>31</v>
      </c>
      <c r="J20" s="14" t="s">
        <v>18</v>
      </c>
      <c r="K20" s="14" t="s">
        <v>20</v>
      </c>
      <c r="L20" s="15" t="s">
        <v>19</v>
      </c>
    </row>
    <row r="21" spans="1:12" x14ac:dyDescent="0.3">
      <c r="A21" s="16">
        <v>1</v>
      </c>
      <c r="B21" s="5" t="s">
        <v>26</v>
      </c>
      <c r="C21" s="5" t="s">
        <v>28</v>
      </c>
      <c r="D21" s="5" t="s">
        <v>27</v>
      </c>
      <c r="E21" s="6">
        <v>1.87</v>
      </c>
      <c r="F21" s="5">
        <v>68</v>
      </c>
      <c r="G21" s="6">
        <v>127</v>
      </c>
      <c r="H21" s="6">
        <v>0</v>
      </c>
      <c r="I21" s="5">
        <v>0</v>
      </c>
      <c r="J21" s="7">
        <f>I21/E21</f>
        <v>0</v>
      </c>
      <c r="K21" s="8">
        <v>7.2</v>
      </c>
      <c r="L21" s="17">
        <f>I21*K21</f>
        <v>0</v>
      </c>
    </row>
    <row r="22" spans="1:12" x14ac:dyDescent="0.3">
      <c r="A22" s="16">
        <v>2</v>
      </c>
      <c r="B22" s="5" t="s">
        <v>26</v>
      </c>
      <c r="C22" s="5" t="s">
        <v>10</v>
      </c>
      <c r="D22" s="5" t="s">
        <v>27</v>
      </c>
      <c r="E22" s="6">
        <v>3.75</v>
      </c>
      <c r="F22" s="5">
        <v>4860</v>
      </c>
      <c r="G22" s="6">
        <v>9471</v>
      </c>
      <c r="H22" s="6">
        <v>7138</v>
      </c>
      <c r="I22" s="5">
        <v>4320</v>
      </c>
      <c r="J22" s="7">
        <f>I22/E22</f>
        <v>1152</v>
      </c>
      <c r="K22" s="8">
        <v>7.1</v>
      </c>
      <c r="L22" s="17">
        <f>I22*K22</f>
        <v>30672</v>
      </c>
    </row>
    <row r="23" spans="1:12" x14ac:dyDescent="0.3">
      <c r="A23" s="18"/>
      <c r="B23" s="9"/>
      <c r="C23" s="9"/>
      <c r="D23" s="9"/>
      <c r="E23" s="9"/>
      <c r="F23" s="9"/>
      <c r="G23" s="9"/>
      <c r="H23" s="9"/>
      <c r="I23" s="9"/>
      <c r="J23" s="9"/>
      <c r="K23" s="9"/>
      <c r="L23" s="19"/>
    </row>
    <row r="24" spans="1:12" x14ac:dyDescent="0.3">
      <c r="A24" s="18"/>
      <c r="B24" s="9"/>
      <c r="C24" s="9"/>
      <c r="D24" s="9"/>
      <c r="E24" s="10" t="s">
        <v>1</v>
      </c>
      <c r="F24" s="11">
        <f>SUM(F21:F23)</f>
        <v>4928</v>
      </c>
      <c r="G24" s="11">
        <f t="shared" ref="G24:H24" si="2">SUM(G21:G23)</f>
        <v>9598</v>
      </c>
      <c r="H24" s="11">
        <f t="shared" si="2"/>
        <v>7138</v>
      </c>
      <c r="I24" s="11">
        <f>SUM(I21:I23)</f>
        <v>4320</v>
      </c>
      <c r="J24" s="10"/>
      <c r="K24" s="10"/>
      <c r="L24" s="21">
        <f>SUM(L21:L22)</f>
        <v>30672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A598-E68D-8E4E-B151-04F3EC440C2A}">
  <dimension ref="A1:L24"/>
  <sheetViews>
    <sheetView topLeftCell="A4" workbookViewId="0">
      <selection activeCell="K13" sqref="K13"/>
    </sheetView>
  </sheetViews>
  <sheetFormatPr defaultColWidth="10.875" defaultRowHeight="18.75" x14ac:dyDescent="0.3"/>
  <cols>
    <col min="1" max="1" width="8.5" style="1" customWidth="1"/>
    <col min="2" max="2" width="12.5" style="1" customWidth="1"/>
    <col min="3" max="3" width="14" style="1" customWidth="1"/>
    <col min="4" max="4" width="16" style="1" customWidth="1"/>
    <col min="5" max="5" width="16.625" style="1" customWidth="1"/>
    <col min="6" max="6" width="16.625" style="1" hidden="1" customWidth="1"/>
    <col min="7" max="8" width="16.625" style="1" customWidth="1"/>
    <col min="9" max="9" width="16.5" style="1" customWidth="1"/>
    <col min="10" max="10" width="19.375" style="1" customWidth="1"/>
    <col min="11" max="11" width="11.875" style="1" bestFit="1" customWidth="1"/>
    <col min="12" max="12" width="13.375" style="1" customWidth="1"/>
    <col min="13" max="16384" width="10.875" style="1"/>
  </cols>
  <sheetData>
    <row r="1" spans="1:12" ht="23.25" x14ac:dyDescent="0.35">
      <c r="A1" s="2" t="s">
        <v>2</v>
      </c>
    </row>
    <row r="2" spans="1:12" x14ac:dyDescent="0.3">
      <c r="A2" s="4" t="s">
        <v>3</v>
      </c>
      <c r="K2" s="3">
        <v>45897</v>
      </c>
    </row>
    <row r="3" spans="1:12" x14ac:dyDescent="0.3">
      <c r="A3" s="4" t="s">
        <v>22</v>
      </c>
    </row>
    <row r="5" spans="1:12" ht="26.25" x14ac:dyDescent="0.4">
      <c r="A5" s="23" t="s">
        <v>4</v>
      </c>
      <c r="K5" s="3"/>
    </row>
    <row r="6" spans="1:12" x14ac:dyDescent="0.3">
      <c r="A6" s="4" t="s">
        <v>21</v>
      </c>
    </row>
    <row r="7" spans="1:12" ht="21.75" thickBot="1" x14ac:dyDescent="0.4">
      <c r="A7" s="24" t="s">
        <v>24</v>
      </c>
      <c r="J7" s="22">
        <v>2025</v>
      </c>
      <c r="K7" s="22">
        <v>2025</v>
      </c>
    </row>
    <row r="8" spans="1:12" ht="27" customHeight="1" x14ac:dyDescent="0.35">
      <c r="A8" s="12" t="s">
        <v>0</v>
      </c>
      <c r="B8" s="13" t="s">
        <v>8</v>
      </c>
      <c r="C8" s="13" t="s">
        <v>7</v>
      </c>
      <c r="D8" s="13" t="s">
        <v>6</v>
      </c>
      <c r="E8" s="14" t="s">
        <v>23</v>
      </c>
      <c r="F8" s="14" t="s">
        <v>17</v>
      </c>
      <c r="G8" s="14" t="s">
        <v>29</v>
      </c>
      <c r="H8" s="14" t="s">
        <v>30</v>
      </c>
      <c r="I8" s="14" t="s">
        <v>31</v>
      </c>
      <c r="J8" s="14" t="s">
        <v>18</v>
      </c>
      <c r="K8" s="14" t="s">
        <v>20</v>
      </c>
      <c r="L8" s="15" t="s">
        <v>19</v>
      </c>
    </row>
    <row r="9" spans="1:12" x14ac:dyDescent="0.3">
      <c r="A9" s="16">
        <v>1</v>
      </c>
      <c r="B9" s="5" t="s">
        <v>16</v>
      </c>
      <c r="C9" s="5" t="s">
        <v>9</v>
      </c>
      <c r="D9" s="5" t="s">
        <v>5</v>
      </c>
      <c r="E9" s="6">
        <v>3.28</v>
      </c>
      <c r="F9" s="5">
        <v>502</v>
      </c>
      <c r="G9" s="5">
        <v>261</v>
      </c>
      <c r="H9" s="5">
        <v>545</v>
      </c>
      <c r="I9" s="5">
        <v>206</v>
      </c>
      <c r="J9" s="7">
        <f>I9/E9</f>
        <v>62.804878048780495</v>
      </c>
      <c r="K9" s="8">
        <v>6.7</v>
      </c>
      <c r="L9" s="17">
        <f>I9*K9</f>
        <v>1380.2</v>
      </c>
    </row>
    <row r="10" spans="1:12" x14ac:dyDescent="0.3">
      <c r="A10" s="16">
        <v>2</v>
      </c>
      <c r="B10" s="5" t="s">
        <v>16</v>
      </c>
      <c r="C10" s="5" t="s">
        <v>10</v>
      </c>
      <c r="D10" s="5" t="s">
        <v>5</v>
      </c>
      <c r="E10" s="6">
        <v>3.94</v>
      </c>
      <c r="F10" s="5">
        <v>1557</v>
      </c>
      <c r="G10" s="5">
        <v>636</v>
      </c>
      <c r="H10" s="5">
        <v>532</v>
      </c>
      <c r="I10" s="5">
        <v>258</v>
      </c>
      <c r="J10" s="7">
        <f t="shared" ref="J10:J15" si="0">I10/E10</f>
        <v>65.482233502538065</v>
      </c>
      <c r="K10" s="8">
        <v>6.7</v>
      </c>
      <c r="L10" s="17">
        <f t="shared" ref="L10:L15" si="1">I10*K10</f>
        <v>1728.6000000000001</v>
      </c>
    </row>
    <row r="11" spans="1:12" x14ac:dyDescent="0.3">
      <c r="A11" s="16">
        <v>3</v>
      </c>
      <c r="B11" s="5" t="s">
        <v>16</v>
      </c>
      <c r="C11" s="5" t="s">
        <v>11</v>
      </c>
      <c r="D11" s="5" t="s">
        <v>5</v>
      </c>
      <c r="E11" s="6">
        <v>4.5999999999999996</v>
      </c>
      <c r="F11" s="5">
        <v>605</v>
      </c>
      <c r="G11" s="5">
        <v>638</v>
      </c>
      <c r="H11" s="5">
        <v>532</v>
      </c>
      <c r="I11" s="5">
        <v>254</v>
      </c>
      <c r="J11" s="7">
        <f t="shared" si="0"/>
        <v>55.217391304347828</v>
      </c>
      <c r="K11" s="8">
        <v>6.65</v>
      </c>
      <c r="L11" s="17">
        <f t="shared" si="1"/>
        <v>1689.1000000000001</v>
      </c>
    </row>
    <row r="12" spans="1:12" x14ac:dyDescent="0.3">
      <c r="A12" s="16">
        <v>4</v>
      </c>
      <c r="B12" s="5" t="s">
        <v>16</v>
      </c>
      <c r="C12" s="5" t="s">
        <v>12</v>
      </c>
      <c r="D12" s="5" t="s">
        <v>5</v>
      </c>
      <c r="E12" s="6">
        <v>5.25</v>
      </c>
      <c r="F12" s="5">
        <v>5993</v>
      </c>
      <c r="G12" s="5">
        <v>5670</v>
      </c>
      <c r="H12" s="5">
        <v>6094</v>
      </c>
      <c r="I12" s="5">
        <v>5407</v>
      </c>
      <c r="J12" s="7">
        <f t="shared" si="0"/>
        <v>1029.9047619047619</v>
      </c>
      <c r="K12" s="8">
        <v>6.65</v>
      </c>
      <c r="L12" s="17">
        <f t="shared" si="1"/>
        <v>35956.550000000003</v>
      </c>
    </row>
    <row r="13" spans="1:12" x14ac:dyDescent="0.3">
      <c r="A13" s="16">
        <v>5</v>
      </c>
      <c r="B13" s="5" t="s">
        <v>16</v>
      </c>
      <c r="C13" s="5" t="s">
        <v>13</v>
      </c>
      <c r="D13" s="5" t="s">
        <v>5</v>
      </c>
      <c r="E13" s="6">
        <v>5.9</v>
      </c>
      <c r="F13" s="5">
        <v>1298</v>
      </c>
      <c r="G13" s="5">
        <v>451</v>
      </c>
      <c r="H13" s="5">
        <v>1485</v>
      </c>
      <c r="I13" s="5">
        <v>156</v>
      </c>
      <c r="J13" s="7">
        <f t="shared" si="0"/>
        <v>26.440677966101692</v>
      </c>
      <c r="K13" s="8">
        <v>6.5</v>
      </c>
      <c r="L13" s="17">
        <f t="shared" si="1"/>
        <v>1014</v>
      </c>
    </row>
    <row r="14" spans="1:12" x14ac:dyDescent="0.3">
      <c r="A14" s="16">
        <v>6</v>
      </c>
      <c r="B14" s="5" t="s">
        <v>16</v>
      </c>
      <c r="C14" s="5" t="s">
        <v>14</v>
      </c>
      <c r="D14" s="5" t="s">
        <v>5</v>
      </c>
      <c r="E14" s="6">
        <v>6.57</v>
      </c>
      <c r="F14" s="5">
        <v>6314</v>
      </c>
      <c r="G14" s="5">
        <v>10148</v>
      </c>
      <c r="H14" s="5">
        <v>4725</v>
      </c>
      <c r="I14" s="5">
        <v>4936</v>
      </c>
      <c r="J14" s="7">
        <f t="shared" si="0"/>
        <v>751.29375951293753</v>
      </c>
      <c r="K14" s="8">
        <v>6.4</v>
      </c>
      <c r="L14" s="17">
        <f t="shared" si="1"/>
        <v>31590.400000000001</v>
      </c>
    </row>
    <row r="15" spans="1:12" x14ac:dyDescent="0.3">
      <c r="A15" s="16">
        <v>7</v>
      </c>
      <c r="B15" s="5" t="s">
        <v>16</v>
      </c>
      <c r="C15" s="5" t="s">
        <v>15</v>
      </c>
      <c r="D15" s="5" t="s">
        <v>5</v>
      </c>
      <c r="E15" s="6">
        <v>7.88</v>
      </c>
      <c r="F15" s="5">
        <v>2405</v>
      </c>
      <c r="G15" s="5">
        <v>2240</v>
      </c>
      <c r="H15" s="5">
        <v>2473</v>
      </c>
      <c r="I15" s="5">
        <v>1374</v>
      </c>
      <c r="J15" s="7">
        <f t="shared" si="0"/>
        <v>174.36548223350255</v>
      </c>
      <c r="K15" s="8">
        <v>6.35</v>
      </c>
      <c r="L15" s="17">
        <f t="shared" si="1"/>
        <v>8724.9</v>
      </c>
    </row>
    <row r="16" spans="1:12" x14ac:dyDescent="0.3">
      <c r="A16" s="18"/>
      <c r="B16" s="9"/>
      <c r="C16" s="9"/>
      <c r="D16" s="9"/>
      <c r="E16" s="9"/>
      <c r="F16" s="9"/>
      <c r="G16" s="9"/>
      <c r="H16" s="9"/>
      <c r="I16" s="9"/>
      <c r="J16" s="9"/>
      <c r="K16" s="9"/>
      <c r="L16" s="19"/>
    </row>
    <row r="17" spans="1:12" x14ac:dyDescent="0.3">
      <c r="A17" s="18"/>
      <c r="B17" s="9"/>
      <c r="C17" s="9"/>
      <c r="D17" s="9"/>
      <c r="E17" s="10" t="s">
        <v>1</v>
      </c>
      <c r="F17" s="11">
        <f>SUM(F9:F15)</f>
        <v>18674</v>
      </c>
      <c r="G17" s="11">
        <f>SUM(G9:G15)</f>
        <v>20044</v>
      </c>
      <c r="H17" s="11">
        <f>SUM(H9:H15)</f>
        <v>16386</v>
      </c>
      <c r="I17" s="11">
        <f>SUM(I9:I15)</f>
        <v>12591</v>
      </c>
      <c r="J17" s="10"/>
      <c r="K17" s="10"/>
      <c r="L17" s="20">
        <f>SUM(L9:L15)</f>
        <v>82083.75</v>
      </c>
    </row>
    <row r="19" spans="1:12" s="25" customFormat="1" ht="21.75" thickBot="1" x14ac:dyDescent="0.4">
      <c r="A19" s="24" t="s">
        <v>25</v>
      </c>
    </row>
    <row r="20" spans="1:12" ht="21" x14ac:dyDescent="0.35">
      <c r="A20" s="12" t="s">
        <v>0</v>
      </c>
      <c r="B20" s="13" t="s">
        <v>8</v>
      </c>
      <c r="C20" s="13" t="s">
        <v>7</v>
      </c>
      <c r="D20" s="13" t="s">
        <v>6</v>
      </c>
      <c r="E20" s="14" t="s">
        <v>23</v>
      </c>
      <c r="F20" s="14" t="s">
        <v>17</v>
      </c>
      <c r="G20" s="14" t="s">
        <v>29</v>
      </c>
      <c r="H20" s="14" t="s">
        <v>30</v>
      </c>
      <c r="I20" s="14" t="s">
        <v>31</v>
      </c>
      <c r="J20" s="14" t="s">
        <v>18</v>
      </c>
      <c r="K20" s="14" t="s">
        <v>20</v>
      </c>
      <c r="L20" s="15" t="s">
        <v>19</v>
      </c>
    </row>
    <row r="21" spans="1:12" x14ac:dyDescent="0.3">
      <c r="A21" s="16">
        <v>1</v>
      </c>
      <c r="B21" s="5" t="s">
        <v>26</v>
      </c>
      <c r="C21" s="5" t="s">
        <v>28</v>
      </c>
      <c r="D21" s="5" t="s">
        <v>27</v>
      </c>
      <c r="E21" s="6">
        <v>1.87</v>
      </c>
      <c r="F21" s="5">
        <v>68</v>
      </c>
      <c r="G21" s="6">
        <v>127</v>
      </c>
      <c r="H21" s="6">
        <v>0</v>
      </c>
      <c r="I21" s="5">
        <v>0</v>
      </c>
      <c r="J21" s="7">
        <f>I21/E21</f>
        <v>0</v>
      </c>
      <c r="K21" s="8">
        <v>7.65</v>
      </c>
      <c r="L21" s="17">
        <f>I21*K21</f>
        <v>0</v>
      </c>
    </row>
    <row r="22" spans="1:12" x14ac:dyDescent="0.3">
      <c r="A22" s="16">
        <v>2</v>
      </c>
      <c r="B22" s="5" t="s">
        <v>26</v>
      </c>
      <c r="C22" s="5" t="s">
        <v>10</v>
      </c>
      <c r="D22" s="5" t="s">
        <v>27</v>
      </c>
      <c r="E22" s="6">
        <v>3.75</v>
      </c>
      <c r="F22" s="5">
        <v>4860</v>
      </c>
      <c r="G22" s="6">
        <v>9471</v>
      </c>
      <c r="H22" s="6">
        <v>7138</v>
      </c>
      <c r="I22" s="5">
        <v>4320</v>
      </c>
      <c r="J22" s="7">
        <f>I22/E22</f>
        <v>1152</v>
      </c>
      <c r="K22" s="8">
        <v>7.55</v>
      </c>
      <c r="L22" s="17">
        <f>I22*K22</f>
        <v>32616</v>
      </c>
    </row>
    <row r="23" spans="1:12" x14ac:dyDescent="0.3">
      <c r="A23" s="18"/>
      <c r="B23" s="9"/>
      <c r="C23" s="9"/>
      <c r="D23" s="9"/>
      <c r="E23" s="9"/>
      <c r="F23" s="9"/>
      <c r="G23" s="9"/>
      <c r="H23" s="9"/>
      <c r="I23" s="9"/>
      <c r="J23" s="9"/>
      <c r="K23" s="9"/>
      <c r="L23" s="19"/>
    </row>
    <row r="24" spans="1:12" x14ac:dyDescent="0.3">
      <c r="A24" s="18"/>
      <c r="B24" s="9"/>
      <c r="C24" s="9"/>
      <c r="D24" s="9"/>
      <c r="E24" s="10" t="s">
        <v>1</v>
      </c>
      <c r="F24" s="11">
        <f>SUM(F21:F23)</f>
        <v>4928</v>
      </c>
      <c r="G24" s="11">
        <f t="shared" ref="G24:H24" si="2">SUM(G21:G23)</f>
        <v>9598</v>
      </c>
      <c r="H24" s="11">
        <f t="shared" si="2"/>
        <v>7138</v>
      </c>
      <c r="I24" s="11">
        <f>SUM(I21:I23)</f>
        <v>4320</v>
      </c>
      <c r="J24" s="10"/>
      <c r="K24" s="10"/>
      <c r="L24" s="21">
        <f>SUM(L21:L22)</f>
        <v>32616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6E8A-0087-BE4A-8B51-2F2C3EF55FBA}">
  <dimension ref="A1:L24"/>
  <sheetViews>
    <sheetView tabSelected="1" topLeftCell="A2" workbookViewId="0">
      <selection activeCell="J19" sqref="J19"/>
    </sheetView>
  </sheetViews>
  <sheetFormatPr defaultColWidth="10.875" defaultRowHeight="18.75" x14ac:dyDescent="0.3"/>
  <cols>
    <col min="1" max="1" width="8.5" style="1" customWidth="1"/>
    <col min="2" max="2" width="12.5" style="1" customWidth="1"/>
    <col min="3" max="3" width="14" style="1" customWidth="1"/>
    <col min="4" max="4" width="16" style="1" customWidth="1"/>
    <col min="5" max="5" width="16.625" style="1" customWidth="1"/>
    <col min="6" max="6" width="16.625" style="1" hidden="1" customWidth="1"/>
    <col min="7" max="8" width="16.625" style="1" customWidth="1"/>
    <col min="9" max="9" width="16.5" style="1" customWidth="1"/>
    <col min="10" max="10" width="19.375" style="1" customWidth="1"/>
    <col min="11" max="11" width="11.875" style="1" bestFit="1" customWidth="1"/>
    <col min="12" max="12" width="13.375" style="1" customWidth="1"/>
    <col min="13" max="16384" width="10.875" style="1"/>
  </cols>
  <sheetData>
    <row r="1" spans="1:12" ht="23.25" x14ac:dyDescent="0.35">
      <c r="A1" s="2" t="s">
        <v>2</v>
      </c>
    </row>
    <row r="2" spans="1:12" x14ac:dyDescent="0.3">
      <c r="A2" s="4" t="s">
        <v>3</v>
      </c>
      <c r="K2" s="3">
        <v>45897</v>
      </c>
    </row>
    <row r="3" spans="1:12" x14ac:dyDescent="0.3">
      <c r="A3" s="4" t="s">
        <v>22</v>
      </c>
    </row>
    <row r="5" spans="1:12" ht="26.25" x14ac:dyDescent="0.4">
      <c r="A5" s="23" t="s">
        <v>4</v>
      </c>
      <c r="K5" s="3"/>
    </row>
    <row r="6" spans="1:12" x14ac:dyDescent="0.3">
      <c r="A6" s="4" t="s">
        <v>21</v>
      </c>
    </row>
    <row r="7" spans="1:12" ht="21.75" thickBot="1" x14ac:dyDescent="0.4">
      <c r="A7" s="24" t="s">
        <v>24</v>
      </c>
      <c r="J7" s="22">
        <v>2025</v>
      </c>
      <c r="K7" s="22">
        <v>2025</v>
      </c>
    </row>
    <row r="8" spans="1:12" ht="27" customHeight="1" x14ac:dyDescent="0.35">
      <c r="A8" s="12" t="s">
        <v>0</v>
      </c>
      <c r="B8" s="13" t="s">
        <v>8</v>
      </c>
      <c r="C8" s="13" t="s">
        <v>7</v>
      </c>
      <c r="D8" s="13" t="s">
        <v>6</v>
      </c>
      <c r="E8" s="14" t="s">
        <v>23</v>
      </c>
      <c r="F8" s="14" t="s">
        <v>17</v>
      </c>
      <c r="G8" s="14" t="s">
        <v>29</v>
      </c>
      <c r="H8" s="14" t="s">
        <v>30</v>
      </c>
      <c r="I8" s="14" t="s">
        <v>31</v>
      </c>
      <c r="J8" s="14" t="s">
        <v>18</v>
      </c>
      <c r="K8" s="14" t="s">
        <v>20</v>
      </c>
      <c r="L8" s="15" t="s">
        <v>19</v>
      </c>
    </row>
    <row r="9" spans="1:12" x14ac:dyDescent="0.3">
      <c r="A9" s="16">
        <v>1</v>
      </c>
      <c r="B9" s="5" t="s">
        <v>16</v>
      </c>
      <c r="C9" s="5" t="s">
        <v>9</v>
      </c>
      <c r="D9" s="5" t="s">
        <v>5</v>
      </c>
      <c r="E9" s="6">
        <v>3.28</v>
      </c>
      <c r="F9" s="5">
        <v>502</v>
      </c>
      <c r="G9" s="5">
        <v>261</v>
      </c>
      <c r="H9" s="5">
        <v>545</v>
      </c>
      <c r="I9" s="5">
        <v>206</v>
      </c>
      <c r="J9" s="7">
        <f>I9/E9</f>
        <v>62.804878048780495</v>
      </c>
      <c r="K9" s="8">
        <v>6.8</v>
      </c>
      <c r="L9" s="17">
        <f>I9*K9</f>
        <v>1400.8</v>
      </c>
    </row>
    <row r="10" spans="1:12" x14ac:dyDescent="0.3">
      <c r="A10" s="16">
        <v>2</v>
      </c>
      <c r="B10" s="5" t="s">
        <v>16</v>
      </c>
      <c r="C10" s="5" t="s">
        <v>10</v>
      </c>
      <c r="D10" s="5" t="s">
        <v>5</v>
      </c>
      <c r="E10" s="6">
        <v>3.94</v>
      </c>
      <c r="F10" s="5">
        <v>1557</v>
      </c>
      <c r="G10" s="5">
        <v>636</v>
      </c>
      <c r="H10" s="5">
        <v>532</v>
      </c>
      <c r="I10" s="5">
        <v>258</v>
      </c>
      <c r="J10" s="7">
        <f t="shared" ref="J10:J15" si="0">I10/E10</f>
        <v>65.482233502538065</v>
      </c>
      <c r="K10" s="8">
        <v>6.8</v>
      </c>
      <c r="L10" s="17">
        <f t="shared" ref="L10:L15" si="1">I10*K10</f>
        <v>1754.3999999999999</v>
      </c>
    </row>
    <row r="11" spans="1:12" x14ac:dyDescent="0.3">
      <c r="A11" s="16">
        <v>3</v>
      </c>
      <c r="B11" s="5" t="s">
        <v>16</v>
      </c>
      <c r="C11" s="5" t="s">
        <v>11</v>
      </c>
      <c r="D11" s="5" t="s">
        <v>5</v>
      </c>
      <c r="E11" s="6">
        <v>4.5999999999999996</v>
      </c>
      <c r="F11" s="5">
        <v>605</v>
      </c>
      <c r="G11" s="5">
        <v>638</v>
      </c>
      <c r="H11" s="5">
        <v>532</v>
      </c>
      <c r="I11" s="5">
        <v>254</v>
      </c>
      <c r="J11" s="7">
        <f t="shared" si="0"/>
        <v>55.217391304347828</v>
      </c>
      <c r="K11" s="8">
        <v>6.8</v>
      </c>
      <c r="L11" s="17">
        <f t="shared" si="1"/>
        <v>1727.2</v>
      </c>
    </row>
    <row r="12" spans="1:12" x14ac:dyDescent="0.3">
      <c r="A12" s="16">
        <v>4</v>
      </c>
      <c r="B12" s="5" t="s">
        <v>16</v>
      </c>
      <c r="C12" s="5" t="s">
        <v>12</v>
      </c>
      <c r="D12" s="5" t="s">
        <v>5</v>
      </c>
      <c r="E12" s="6">
        <v>5.25</v>
      </c>
      <c r="F12" s="5">
        <v>5993</v>
      </c>
      <c r="G12" s="5">
        <v>5670</v>
      </c>
      <c r="H12" s="5">
        <v>6094</v>
      </c>
      <c r="I12" s="5">
        <v>5407</v>
      </c>
      <c r="J12" s="7">
        <f t="shared" si="0"/>
        <v>1029.9047619047619</v>
      </c>
      <c r="K12" s="8">
        <v>6.7</v>
      </c>
      <c r="L12" s="17">
        <f t="shared" si="1"/>
        <v>36226.9</v>
      </c>
    </row>
    <row r="13" spans="1:12" x14ac:dyDescent="0.3">
      <c r="A13" s="16">
        <v>5</v>
      </c>
      <c r="B13" s="5" t="s">
        <v>16</v>
      </c>
      <c r="C13" s="5" t="s">
        <v>13</v>
      </c>
      <c r="D13" s="5" t="s">
        <v>5</v>
      </c>
      <c r="E13" s="6">
        <v>5.9</v>
      </c>
      <c r="F13" s="5">
        <v>1298</v>
      </c>
      <c r="G13" s="5">
        <v>451</v>
      </c>
      <c r="H13" s="5">
        <v>1485</v>
      </c>
      <c r="I13" s="5">
        <v>156</v>
      </c>
      <c r="J13" s="7">
        <f t="shared" si="0"/>
        <v>26.440677966101692</v>
      </c>
      <c r="K13" s="8">
        <v>6.6</v>
      </c>
      <c r="L13" s="17">
        <f t="shared" si="1"/>
        <v>1029.5999999999999</v>
      </c>
    </row>
    <row r="14" spans="1:12" x14ac:dyDescent="0.3">
      <c r="A14" s="16">
        <v>6</v>
      </c>
      <c r="B14" s="5" t="s">
        <v>16</v>
      </c>
      <c r="C14" s="5" t="s">
        <v>14</v>
      </c>
      <c r="D14" s="5" t="s">
        <v>5</v>
      </c>
      <c r="E14" s="6">
        <v>6.57</v>
      </c>
      <c r="F14" s="5">
        <v>6314</v>
      </c>
      <c r="G14" s="5">
        <v>10148</v>
      </c>
      <c r="H14" s="5">
        <v>4725</v>
      </c>
      <c r="I14" s="5">
        <v>4936</v>
      </c>
      <c r="J14" s="7">
        <f t="shared" si="0"/>
        <v>751.29375951293753</v>
      </c>
      <c r="K14" s="8">
        <v>6.5</v>
      </c>
      <c r="L14" s="17">
        <f t="shared" si="1"/>
        <v>32084</v>
      </c>
    </row>
    <row r="15" spans="1:12" x14ac:dyDescent="0.3">
      <c r="A15" s="16">
        <v>7</v>
      </c>
      <c r="B15" s="5" t="s">
        <v>16</v>
      </c>
      <c r="C15" s="5" t="s">
        <v>15</v>
      </c>
      <c r="D15" s="5" t="s">
        <v>5</v>
      </c>
      <c r="E15" s="6">
        <v>7.88</v>
      </c>
      <c r="F15" s="5">
        <v>2405</v>
      </c>
      <c r="G15" s="5">
        <v>2240</v>
      </c>
      <c r="H15" s="5">
        <v>2473</v>
      </c>
      <c r="I15" s="5">
        <v>1374</v>
      </c>
      <c r="J15" s="7">
        <f t="shared" si="0"/>
        <v>174.36548223350255</v>
      </c>
      <c r="K15" s="8">
        <v>6.45</v>
      </c>
      <c r="L15" s="17">
        <f t="shared" si="1"/>
        <v>8862.3000000000011</v>
      </c>
    </row>
    <row r="16" spans="1:12" x14ac:dyDescent="0.3">
      <c r="A16" s="18"/>
      <c r="B16" s="9"/>
      <c r="C16" s="9"/>
      <c r="D16" s="9"/>
      <c r="E16" s="9"/>
      <c r="F16" s="9"/>
      <c r="G16" s="9"/>
      <c r="H16" s="9"/>
      <c r="I16" s="9"/>
      <c r="J16" s="9"/>
      <c r="K16" s="9"/>
      <c r="L16" s="19"/>
    </row>
    <row r="17" spans="1:12" x14ac:dyDescent="0.3">
      <c r="A17" s="18"/>
      <c r="B17" s="9"/>
      <c r="C17" s="9"/>
      <c r="D17" s="9"/>
      <c r="E17" s="10" t="s">
        <v>1</v>
      </c>
      <c r="F17" s="11">
        <f>SUM(F9:F15)</f>
        <v>18674</v>
      </c>
      <c r="G17" s="11">
        <f>SUM(G9:G15)</f>
        <v>20044</v>
      </c>
      <c r="H17" s="11">
        <f>SUM(H9:H15)</f>
        <v>16386</v>
      </c>
      <c r="I17" s="11">
        <f>SUM(I9:I15)</f>
        <v>12591</v>
      </c>
      <c r="J17" s="10"/>
      <c r="K17" s="10"/>
      <c r="L17" s="20">
        <f>SUM(L9:L15)</f>
        <v>83085.2</v>
      </c>
    </row>
    <row r="19" spans="1:12" s="25" customFormat="1" ht="21.75" thickBot="1" x14ac:dyDescent="0.4">
      <c r="A19" s="24" t="s">
        <v>25</v>
      </c>
    </row>
    <row r="20" spans="1:12" ht="21" x14ac:dyDescent="0.35">
      <c r="A20" s="12" t="s">
        <v>0</v>
      </c>
      <c r="B20" s="13" t="s">
        <v>8</v>
      </c>
      <c r="C20" s="13" t="s">
        <v>7</v>
      </c>
      <c r="D20" s="13" t="s">
        <v>6</v>
      </c>
      <c r="E20" s="14" t="s">
        <v>23</v>
      </c>
      <c r="F20" s="14" t="s">
        <v>17</v>
      </c>
      <c r="G20" s="14" t="s">
        <v>29</v>
      </c>
      <c r="H20" s="14" t="s">
        <v>30</v>
      </c>
      <c r="I20" s="14" t="s">
        <v>31</v>
      </c>
      <c r="J20" s="14" t="s">
        <v>18</v>
      </c>
      <c r="K20" s="14" t="s">
        <v>20</v>
      </c>
      <c r="L20" s="15" t="s">
        <v>19</v>
      </c>
    </row>
    <row r="21" spans="1:12" x14ac:dyDescent="0.3">
      <c r="A21" s="16">
        <v>1</v>
      </c>
      <c r="B21" s="5" t="s">
        <v>26</v>
      </c>
      <c r="C21" s="5" t="s">
        <v>28</v>
      </c>
      <c r="D21" s="5" t="s">
        <v>27</v>
      </c>
      <c r="E21" s="6">
        <v>1.87</v>
      </c>
      <c r="F21" s="5">
        <v>68</v>
      </c>
      <c r="G21" s="6">
        <v>127</v>
      </c>
      <c r="H21" s="6">
        <v>0</v>
      </c>
      <c r="I21" s="5">
        <v>0</v>
      </c>
      <c r="J21" s="7">
        <f>I21/E21</f>
        <v>0</v>
      </c>
      <c r="K21" s="8">
        <v>7.7</v>
      </c>
      <c r="L21" s="17">
        <f>I21*K21</f>
        <v>0</v>
      </c>
    </row>
    <row r="22" spans="1:12" x14ac:dyDescent="0.3">
      <c r="A22" s="16">
        <v>2</v>
      </c>
      <c r="B22" s="5" t="s">
        <v>26</v>
      </c>
      <c r="C22" s="5" t="s">
        <v>10</v>
      </c>
      <c r="D22" s="5" t="s">
        <v>27</v>
      </c>
      <c r="E22" s="6">
        <v>3.75</v>
      </c>
      <c r="F22" s="5">
        <v>4860</v>
      </c>
      <c r="G22" s="6">
        <v>9471</v>
      </c>
      <c r="H22" s="6">
        <v>7138</v>
      </c>
      <c r="I22" s="5">
        <v>4320</v>
      </c>
      <c r="J22" s="7">
        <f>I22/E22</f>
        <v>1152</v>
      </c>
      <c r="K22" s="8">
        <v>7.65</v>
      </c>
      <c r="L22" s="17">
        <f>I22*K22</f>
        <v>33048</v>
      </c>
    </row>
    <row r="23" spans="1:12" x14ac:dyDescent="0.3">
      <c r="A23" s="18"/>
      <c r="B23" s="9"/>
      <c r="C23" s="9"/>
      <c r="D23" s="9"/>
      <c r="E23" s="9"/>
      <c r="F23" s="9"/>
      <c r="G23" s="9"/>
      <c r="H23" s="9"/>
      <c r="I23" s="9"/>
      <c r="J23" s="9"/>
      <c r="K23" s="9"/>
      <c r="L23" s="19"/>
    </row>
    <row r="24" spans="1:12" x14ac:dyDescent="0.3">
      <c r="A24" s="18"/>
      <c r="B24" s="9"/>
      <c r="C24" s="9"/>
      <c r="D24" s="9"/>
      <c r="E24" s="10" t="s">
        <v>1</v>
      </c>
      <c r="F24" s="11">
        <f>SUM(F21:F23)</f>
        <v>4928</v>
      </c>
      <c r="G24" s="11">
        <f t="shared" ref="G24:H24" si="2">SUM(G21:G23)</f>
        <v>9598</v>
      </c>
      <c r="H24" s="11">
        <f t="shared" si="2"/>
        <v>7138</v>
      </c>
      <c r="I24" s="11">
        <f>SUM(I21:I23)</f>
        <v>4320</v>
      </c>
      <c r="J24" s="10"/>
      <c r="K24" s="10"/>
      <c r="L24" s="21">
        <f>SUM(L21:L22)</f>
        <v>33048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2021</vt:lpstr>
      <vt:lpstr>2025 Ex factory</vt:lpstr>
      <vt:lpstr>Until US Port </vt:lpstr>
      <vt:lpstr>Door to Door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Daniel Vass</cp:lastModifiedBy>
  <dcterms:created xsi:type="dcterms:W3CDTF">2017-09-16T13:18:04Z</dcterms:created>
  <dcterms:modified xsi:type="dcterms:W3CDTF">2026-04-23T10:37:26Z</dcterms:modified>
</cp:coreProperties>
</file>